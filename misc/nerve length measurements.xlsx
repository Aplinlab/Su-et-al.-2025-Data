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5164349_ad_unsw_edu_au1/Documents/Documents/Code/Data Analysis HFF/"/>
    </mc:Choice>
  </mc:AlternateContent>
  <xr:revisionPtr revIDLastSave="41" documentId="8_{74E7408B-B6DB-4D27-B064-E86276FD5059}" xr6:coauthVersionLast="47" xr6:coauthVersionMax="47" xr10:uidLastSave="{1613DFDB-3B9A-4353-B245-93A797782AC0}"/>
  <bookViews>
    <workbookView xWindow="38280" yWindow="3720" windowWidth="29040" windowHeight="16440" xr2:uid="{8F0AAD50-F38F-4A6C-BD59-4A9CBFCB498D}"/>
  </bookViews>
  <sheets>
    <sheet name="nerve length measu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<sst xmlns="http://schemas.openxmlformats.org/spreadsheetml/2006/main" count="33" uniqueCount="16">
  <si>
    <t>Species</t>
  </si>
  <si>
    <t>Date</t>
  </si>
  <si>
    <t>DOB</t>
  </si>
  <si>
    <t>Age</t>
  </si>
  <si>
    <t>Weight (g)</t>
  </si>
  <si>
    <t>Sex</t>
  </si>
  <si>
    <t>Tibial leg length (mm)</t>
  </si>
  <si>
    <t>Peroneal leg length (mm)</t>
  </si>
  <si>
    <t>Sural leg length (mm)</t>
  </si>
  <si>
    <t>Foot length (mm)</t>
  </si>
  <si>
    <t>D1 length (mm)</t>
  </si>
  <si>
    <t>D2-4 length (mm)</t>
  </si>
  <si>
    <t>D5 length (mm)</t>
  </si>
  <si>
    <t>F</t>
  </si>
  <si>
    <t>SD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</si>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</sst>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Sural 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'nerve length measurements'!$E$2:$E$7</c:f>
              <c:numCache>
                <c:formatCode>General</c:formatCode>
                <c:ptCount val="6"/>
                <c:pt idx="0">
                  <c:v>354</c:v>
                </c:pt>
                <c:pt idx="1">
                  <c:v>510</c:v>
                </c:pt>
                <c:pt idx="2">
                  <c:v>558</c:v>
                </c:pt>
                <c:pt idx="3">
                  <c:v>475</c:v>
                </c:pt>
                <c:pt idx="4">
                  <c:v>346</c:v>
                </c:pt>
                <c:pt idx="5">
                  <c:v>450</c:v>
                </c:pt>
              </c:numCache>
            </c:numRef>
          </c:xVal>
          <c:yVal>
            <c:numRef>
              <c:f>'nerve length measurements'!$I$2:$I$7</c:f>
              <c:numCache>
                <c:formatCode>General</c:formatCode>
                <c:ptCount val="6"/>
                <c:pt idx="0">
                  <c:v>52</c:v>
                </c:pt>
                <c:pt idx="1">
                  <c:v>60</c:v>
                </c:pt>
                <c:pt idx="2">
                  <c:v>57</c:v>
                </c:pt>
                <c:pt idx="3">
                  <c:v>60</c:v>
                </c:pt>
                <c:pt idx="4">
                  <c:v>56</c:v>
                </c:pt>
                <c:pt idx="5">
                  <c:v>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D8E-4CFB-9FDA-43A6CC9CB1FA}"/>
            </c:ext>
          </c:extLst>
        </c:ser>
        <c:ser>
          <c:idx val="1"/>
          <c:order val="1"/>
          <c:tx>
            <c:v>Sural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'nerve length measurements'!$E$8:$E$11</c:f>
              <c:numCache>
                <c:formatCode>General</c:formatCode>
                <c:ptCount val="4"/>
                <c:pt idx="0">
                  <c:v>259</c:v>
                </c:pt>
                <c:pt idx="1">
                  <c:v>313</c:v>
                </c:pt>
                <c:pt idx="2">
                  <c:v>305</c:v>
                </c:pt>
                <c:pt idx="3">
                  <c:v>281</c:v>
                </c:pt>
              </c:numCache>
            </c:numRef>
          </c:xVal>
          <c:yVal>
            <c:numRef>
              <c:f>'nerve length measurements'!$I$8:$I$11</c:f>
              <c:numCache>
                <c:formatCode>General</c:formatCode>
                <c:ptCount val="4"/>
                <c:pt idx="0">
                  <c:v>49</c:v>
                </c:pt>
                <c:pt idx="1">
                  <c:v>54</c:v>
                </c:pt>
                <c:pt idx="2">
                  <c:v>49</c:v>
                </c:pt>
                <c:pt idx="3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D8E-4CFB-9FDA-43A6CC9CB1FA}"/>
            </c:ext>
          </c:extLst>
        </c:ser>
        <c:ser>
          <c:idx val="2"/>
          <c:order val="2"/>
          <c:tx>
            <c:v>Foot 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'nerve length measurements'!$E$2:$E$7</c:f>
              <c:numCache>
                <c:formatCode>General</c:formatCode>
                <c:ptCount val="6"/>
                <c:pt idx="0">
                  <c:v>354</c:v>
                </c:pt>
                <c:pt idx="1">
                  <c:v>510</c:v>
                </c:pt>
                <c:pt idx="2">
                  <c:v>558</c:v>
                </c:pt>
                <c:pt idx="3">
                  <c:v>475</c:v>
                </c:pt>
                <c:pt idx="4">
                  <c:v>346</c:v>
                </c:pt>
                <c:pt idx="5">
                  <c:v>450</c:v>
                </c:pt>
              </c:numCache>
            </c:numRef>
          </c:xVal>
          <c:yVal>
            <c:numRef>
              <c:f>'nerve length measurements'!$J$2:$J$7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D8E-4CFB-9FDA-43A6CC9CB1FA}"/>
            </c:ext>
          </c:extLst>
        </c:ser>
        <c:ser>
          <c:idx val="3"/>
          <c:order val="3"/>
          <c:tx>
            <c:v>Foot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'nerve length measurements'!$E$8:$E$11</c:f>
              <c:numCache>
                <c:formatCode>General</c:formatCode>
                <c:ptCount val="4"/>
                <c:pt idx="0">
                  <c:v>259</c:v>
                </c:pt>
                <c:pt idx="1">
                  <c:v>313</c:v>
                </c:pt>
                <c:pt idx="2">
                  <c:v>305</c:v>
                </c:pt>
                <c:pt idx="3">
                  <c:v>281</c:v>
                </c:pt>
              </c:numCache>
            </c:numRef>
          </c:xVal>
          <c:yVal>
            <c:numRef>
              <c:f>'nerve length measurements'!$J$8:$J$11</c:f>
              <c:numCache>
                <c:formatCode>General</c:formatCode>
                <c:ptCount val="4"/>
                <c:pt idx="0">
                  <c:v>20</c:v>
                </c:pt>
                <c:pt idx="1">
                  <c:v>20</c:v>
                </c:pt>
                <c:pt idx="2">
                  <c:v>22</c:v>
                </c:pt>
                <c:pt idx="3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D8E-4CFB-9FDA-43A6CC9CB1FA}"/>
            </c:ext>
          </c:extLst>
        </c:ser>
        <c:ser>
          <c:idx val="4"/>
          <c:order val="4"/>
          <c:tx>
            <c:v>D1 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'nerve length measurements'!$E$2:$E$7</c:f>
              <c:numCache>
                <c:formatCode>General</c:formatCode>
                <c:ptCount val="6"/>
                <c:pt idx="0">
                  <c:v>354</c:v>
                </c:pt>
                <c:pt idx="1">
                  <c:v>510</c:v>
                </c:pt>
                <c:pt idx="2">
                  <c:v>558</c:v>
                </c:pt>
                <c:pt idx="3">
                  <c:v>475</c:v>
                </c:pt>
                <c:pt idx="4">
                  <c:v>346</c:v>
                </c:pt>
                <c:pt idx="5">
                  <c:v>450</c:v>
                </c:pt>
              </c:numCache>
            </c:numRef>
          </c:xVal>
          <c:yVal>
            <c:numRef>
              <c:f>'nerve length measurements'!$K$2:$K$7</c:f>
              <c:numCache>
                <c:formatCode>General</c:formatCode>
                <c:ptCount val="6"/>
                <c:pt idx="0">
                  <c:v>6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D8E-4CFB-9FDA-43A6CC9CB1FA}"/>
            </c:ext>
          </c:extLst>
        </c:ser>
        <c:ser>
          <c:idx val="5"/>
          <c:order val="5"/>
          <c:tx>
            <c:v>D1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'nerve length measurements'!$E$8:$E$11</c:f>
              <c:numCache>
                <c:formatCode>General</c:formatCode>
                <c:ptCount val="4"/>
                <c:pt idx="0">
                  <c:v>259</c:v>
                </c:pt>
                <c:pt idx="1">
                  <c:v>313</c:v>
                </c:pt>
                <c:pt idx="2">
                  <c:v>305</c:v>
                </c:pt>
                <c:pt idx="3">
                  <c:v>281</c:v>
                </c:pt>
              </c:numCache>
            </c:numRef>
          </c:xVal>
          <c:yVal>
            <c:numRef>
              <c:f>'nerve length measurements'!$K$8:$K$11</c:f>
              <c:numCache>
                <c:formatCode>General</c:formatCode>
                <c:ptCount val="4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D8E-4CFB-9FDA-43A6CC9CB1FA}"/>
            </c:ext>
          </c:extLst>
        </c:ser>
        <c:ser>
          <c:idx val="6"/>
          <c:order val="6"/>
          <c:tx>
            <c:v>D2-4 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'nerve length measurements'!$E$2:$E$7</c:f>
              <c:numCache>
                <c:formatCode>General</c:formatCode>
                <c:ptCount val="6"/>
                <c:pt idx="0">
                  <c:v>354</c:v>
                </c:pt>
                <c:pt idx="1">
                  <c:v>510</c:v>
                </c:pt>
                <c:pt idx="2">
                  <c:v>558</c:v>
                </c:pt>
                <c:pt idx="3">
                  <c:v>475</c:v>
                </c:pt>
                <c:pt idx="4">
                  <c:v>346</c:v>
                </c:pt>
                <c:pt idx="5">
                  <c:v>450</c:v>
                </c:pt>
              </c:numCache>
            </c:numRef>
          </c:xVal>
          <c:yVal>
            <c:numRef>
              <c:f>'nerve length measurements'!$L$2:$L$7</c:f>
              <c:numCache>
                <c:formatCode>General</c:formatCode>
                <c:ptCount val="6"/>
                <c:pt idx="0">
                  <c:v>19</c:v>
                </c:pt>
                <c:pt idx="1">
                  <c:v>18</c:v>
                </c:pt>
                <c:pt idx="2">
                  <c:v>20</c:v>
                </c:pt>
                <c:pt idx="3">
                  <c:v>23</c:v>
                </c:pt>
                <c:pt idx="4">
                  <c:v>21</c:v>
                </c:pt>
                <c:pt idx="5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D8E-4CFB-9FDA-43A6CC9CB1FA}"/>
            </c:ext>
          </c:extLst>
        </c:ser>
        <c:ser>
          <c:idx val="7"/>
          <c:order val="7"/>
          <c:tx>
            <c:v>D2-4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'nerve length measurements'!$E$8:$E$11</c:f>
              <c:numCache>
                <c:formatCode>General</c:formatCode>
                <c:ptCount val="4"/>
                <c:pt idx="0">
                  <c:v>259</c:v>
                </c:pt>
                <c:pt idx="1">
                  <c:v>313</c:v>
                </c:pt>
                <c:pt idx="2">
                  <c:v>305</c:v>
                </c:pt>
                <c:pt idx="3">
                  <c:v>281</c:v>
                </c:pt>
              </c:numCache>
            </c:numRef>
          </c:xVal>
          <c:yVal>
            <c:numRef>
              <c:f>'nerve length measurements'!$L$8:$L$11</c:f>
              <c:numCache>
                <c:formatCode>General</c:formatCode>
                <c:ptCount val="4"/>
                <c:pt idx="0">
                  <c:v>19</c:v>
                </c:pt>
                <c:pt idx="1">
                  <c:v>18</c:v>
                </c:pt>
                <c:pt idx="2">
                  <c:v>16</c:v>
                </c:pt>
                <c:pt idx="3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D8E-4CFB-9FDA-43A6CC9CB1FA}"/>
            </c:ext>
          </c:extLst>
        </c:ser>
        <c:ser>
          <c:idx val="8"/>
          <c:order val="8"/>
          <c:tx>
            <c:v>D5 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'nerve length measurements'!$E$2:$E$7</c:f>
              <c:numCache>
                <c:formatCode>General</c:formatCode>
                <c:ptCount val="6"/>
                <c:pt idx="0">
                  <c:v>354</c:v>
                </c:pt>
                <c:pt idx="1">
                  <c:v>510</c:v>
                </c:pt>
                <c:pt idx="2">
                  <c:v>558</c:v>
                </c:pt>
                <c:pt idx="3">
                  <c:v>475</c:v>
                </c:pt>
                <c:pt idx="4">
                  <c:v>346</c:v>
                </c:pt>
                <c:pt idx="5">
                  <c:v>450</c:v>
                </c:pt>
              </c:numCache>
            </c:numRef>
          </c:xVal>
          <c:yVal>
            <c:numRef>
              <c:f>'nerve length measurements'!$M$2:$M$7</c:f>
              <c:numCache>
                <c:formatCode>General</c:formatCode>
                <c:ptCount val="6"/>
                <c:pt idx="0">
                  <c:v>11</c:v>
                </c:pt>
                <c:pt idx="1">
                  <c:v>11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D8E-4CFB-9FDA-43A6CC9CB1FA}"/>
            </c:ext>
          </c:extLst>
        </c:ser>
        <c:ser>
          <c:idx val="9"/>
          <c:order val="9"/>
          <c:tx>
            <c:v>D5 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'nerve length measurements'!$E$8:$E$11</c:f>
              <c:numCache>
                <c:formatCode>General</c:formatCode>
                <c:ptCount val="4"/>
                <c:pt idx="0">
                  <c:v>259</c:v>
                </c:pt>
                <c:pt idx="1">
                  <c:v>313</c:v>
                </c:pt>
                <c:pt idx="2">
                  <c:v>305</c:v>
                </c:pt>
                <c:pt idx="3">
                  <c:v>281</c:v>
                </c:pt>
              </c:numCache>
            </c:numRef>
          </c:xVal>
          <c:yVal>
            <c:numRef>
              <c:f>'nerve length measurements'!$M$8:$M$11</c:f>
              <c:numCache>
                <c:formatCode>General</c:formatCode>
                <c:ptCount val="4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D8E-4CFB-9FDA-43A6CC9CB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262576"/>
        <c:axId val="422252976"/>
      </c:scatterChart>
      <c:valAx>
        <c:axId val="42226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52976"/>
        <c:crosses val="autoZero"/>
        <c:crossBetween val="midCat"/>
      </c:valAx>
      <c:valAx>
        <c:axId val="4222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62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Sural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'nerve length measurements'!$E$2:$E$11</c:f>
              <c:numCache>
                <c:formatCode>General</c:formatCode>
                <c:ptCount val="10"/>
                <c:pt idx="0">
                  <c:v>354</c:v>
                </c:pt>
                <c:pt idx="1">
                  <c:v>510</c:v>
                </c:pt>
                <c:pt idx="2">
                  <c:v>558</c:v>
                </c:pt>
                <c:pt idx="3">
                  <c:v>475</c:v>
                </c:pt>
                <c:pt idx="4">
                  <c:v>346</c:v>
                </c:pt>
                <c:pt idx="5">
                  <c:v>450</c:v>
                </c:pt>
                <c:pt idx="6">
                  <c:v>259</c:v>
                </c:pt>
                <c:pt idx="7">
                  <c:v>313</c:v>
                </c:pt>
                <c:pt idx="8">
                  <c:v>305</c:v>
                </c:pt>
                <c:pt idx="9">
                  <c:v>281</c:v>
                </c:pt>
              </c:numCache>
            </c:numRef>
          </c:xVal>
          <c:yVal>
            <c:numRef>
              <c:f>'nerve length measurements'!$I$2:$I$11</c:f>
              <c:numCache>
                <c:formatCode>General</c:formatCode>
                <c:ptCount val="10"/>
                <c:pt idx="0">
                  <c:v>52</c:v>
                </c:pt>
                <c:pt idx="1">
                  <c:v>60</c:v>
                </c:pt>
                <c:pt idx="2">
                  <c:v>57</c:v>
                </c:pt>
                <c:pt idx="3">
                  <c:v>60</c:v>
                </c:pt>
                <c:pt idx="4">
                  <c:v>56</c:v>
                </c:pt>
                <c:pt idx="5">
                  <c:v>53</c:v>
                </c:pt>
                <c:pt idx="6">
                  <c:v>49</c:v>
                </c:pt>
                <c:pt idx="7">
                  <c:v>54</c:v>
                </c:pt>
                <c:pt idx="8">
                  <c:v>49</c:v>
                </c:pt>
                <c:pt idx="9">
                  <c:v>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9AC-46EB-BBBB-7D390B96FFDE}"/>
            </c:ext>
          </c:extLst>
        </c:ser>
        <c:ser>
          <c:idx val="1"/>
          <c:order val="1"/>
          <c:tx>
            <c:v>Foot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'nerve length measurements'!$E$2:$E$11</c:f>
              <c:numCache>
                <c:formatCode>General</c:formatCode>
                <c:ptCount val="10"/>
                <c:pt idx="0">
                  <c:v>354</c:v>
                </c:pt>
                <c:pt idx="1">
                  <c:v>510</c:v>
                </c:pt>
                <c:pt idx="2">
                  <c:v>558</c:v>
                </c:pt>
                <c:pt idx="3">
                  <c:v>475</c:v>
                </c:pt>
                <c:pt idx="4">
                  <c:v>346</c:v>
                </c:pt>
                <c:pt idx="5">
                  <c:v>450</c:v>
                </c:pt>
                <c:pt idx="6">
                  <c:v>259</c:v>
                </c:pt>
                <c:pt idx="7">
                  <c:v>313</c:v>
                </c:pt>
                <c:pt idx="8">
                  <c:v>305</c:v>
                </c:pt>
                <c:pt idx="9">
                  <c:v>281</c:v>
                </c:pt>
              </c:numCache>
            </c:numRef>
          </c:xVal>
          <c:yVal>
            <c:numRef>
              <c:f>'nerve length measurements'!$J$2:$J$11</c:f>
              <c:numCache>
                <c:formatCode>General</c:formatCode>
                <c:ptCount val="1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21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22</c:v>
                </c:pt>
                <c:pt idx="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9AC-46EB-BBBB-7D390B96FFDE}"/>
            </c:ext>
          </c:extLst>
        </c:ser>
        <c:ser>
          <c:idx val="2"/>
          <c:order val="2"/>
          <c:tx>
            <c:v>D1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'nerve length measurements'!$E$2:$E$11</c:f>
              <c:numCache>
                <c:formatCode>General</c:formatCode>
                <c:ptCount val="10"/>
                <c:pt idx="0">
                  <c:v>354</c:v>
                </c:pt>
                <c:pt idx="1">
                  <c:v>510</c:v>
                </c:pt>
                <c:pt idx="2">
                  <c:v>558</c:v>
                </c:pt>
                <c:pt idx="3">
                  <c:v>475</c:v>
                </c:pt>
                <c:pt idx="4">
                  <c:v>346</c:v>
                </c:pt>
                <c:pt idx="5">
                  <c:v>450</c:v>
                </c:pt>
                <c:pt idx="6">
                  <c:v>259</c:v>
                </c:pt>
                <c:pt idx="7">
                  <c:v>313</c:v>
                </c:pt>
                <c:pt idx="8">
                  <c:v>305</c:v>
                </c:pt>
                <c:pt idx="9">
                  <c:v>281</c:v>
                </c:pt>
              </c:numCache>
            </c:numRef>
          </c:xVal>
          <c:yVal>
            <c:numRef>
              <c:f>'nerve length measurements'!$K$2:$K$11</c:f>
              <c:numCache>
                <c:formatCode>General</c:formatCode>
                <c:ptCount val="10"/>
                <c:pt idx="0">
                  <c:v>6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A9AC-46EB-BBBB-7D390B96FFDE}"/>
            </c:ext>
          </c:extLst>
        </c:ser>
        <c:ser>
          <c:idx val="3"/>
          <c:order val="3"/>
          <c:tx>
            <c:v>D2-4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'nerve length measurements'!$E$2:$E$11</c:f>
              <c:numCache>
                <c:formatCode>General</c:formatCode>
                <c:ptCount val="10"/>
                <c:pt idx="0">
                  <c:v>354</c:v>
                </c:pt>
                <c:pt idx="1">
                  <c:v>510</c:v>
                </c:pt>
                <c:pt idx="2">
                  <c:v>558</c:v>
                </c:pt>
                <c:pt idx="3">
                  <c:v>475</c:v>
                </c:pt>
                <c:pt idx="4">
                  <c:v>346</c:v>
                </c:pt>
                <c:pt idx="5">
                  <c:v>450</c:v>
                </c:pt>
                <c:pt idx="6">
                  <c:v>259</c:v>
                </c:pt>
                <c:pt idx="7">
                  <c:v>313</c:v>
                </c:pt>
                <c:pt idx="8">
                  <c:v>305</c:v>
                </c:pt>
                <c:pt idx="9">
                  <c:v>281</c:v>
                </c:pt>
              </c:numCache>
            </c:numRef>
          </c:xVal>
          <c:yVal>
            <c:numRef>
              <c:f>'nerve length measurements'!$L$2:$L$11</c:f>
              <c:numCache>
                <c:formatCode>General</c:formatCode>
                <c:ptCount val="10"/>
                <c:pt idx="0">
                  <c:v>19</c:v>
                </c:pt>
                <c:pt idx="1">
                  <c:v>18</c:v>
                </c:pt>
                <c:pt idx="2">
                  <c:v>20</c:v>
                </c:pt>
                <c:pt idx="3">
                  <c:v>23</c:v>
                </c:pt>
                <c:pt idx="4">
                  <c:v>21</c:v>
                </c:pt>
                <c:pt idx="5">
                  <c:v>21</c:v>
                </c:pt>
                <c:pt idx="6">
                  <c:v>19</c:v>
                </c:pt>
                <c:pt idx="7">
                  <c:v>18</c:v>
                </c:pt>
                <c:pt idx="8">
                  <c:v>16</c:v>
                </c:pt>
                <c:pt idx="9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9AC-46EB-BBBB-7D390B96FFDE}"/>
            </c:ext>
          </c:extLst>
        </c:ser>
        <c:ser>
          <c:idx val="4"/>
          <c:order val="4"/>
          <c:tx>
            <c:v>D5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'nerve length measurements'!$E$2:$E$11</c:f>
              <c:numCache>
                <c:formatCode>General</c:formatCode>
                <c:ptCount val="10"/>
                <c:pt idx="0">
                  <c:v>354</c:v>
                </c:pt>
                <c:pt idx="1">
                  <c:v>510</c:v>
                </c:pt>
                <c:pt idx="2">
                  <c:v>558</c:v>
                </c:pt>
                <c:pt idx="3">
                  <c:v>475</c:v>
                </c:pt>
                <c:pt idx="4">
                  <c:v>346</c:v>
                </c:pt>
                <c:pt idx="5">
                  <c:v>450</c:v>
                </c:pt>
                <c:pt idx="6">
                  <c:v>259</c:v>
                </c:pt>
                <c:pt idx="7">
                  <c:v>313</c:v>
                </c:pt>
                <c:pt idx="8">
                  <c:v>305</c:v>
                </c:pt>
                <c:pt idx="9">
                  <c:v>281</c:v>
                </c:pt>
              </c:numCache>
            </c:numRef>
          </c:xVal>
          <c:yVal>
            <c:numRef>
              <c:f>'nerve length measurements'!$M$2:$M$11</c:f>
              <c:numCache>
                <c:formatCode>General</c:formatCode>
                <c:ptCount val="10"/>
                <c:pt idx="0">
                  <c:v>11</c:v>
                </c:pt>
                <c:pt idx="1">
                  <c:v>11</c:v>
                </c:pt>
                <c:pt idx="2">
                  <c:v>15</c:v>
                </c:pt>
                <c:pt idx="3">
                  <c:v>14</c:v>
                </c:pt>
                <c:pt idx="4">
                  <c:v>12</c:v>
                </c:pt>
                <c:pt idx="5">
                  <c:v>13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9AC-46EB-BBBB-7D390B96F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262576"/>
        <c:axId val="422252976"/>
      </c:scatterChart>
      <c:valAx>
        <c:axId val="42226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52976"/>
        <c:crosses val="autoZero"/>
        <c:crossBetween val="midCat"/>
      </c:valAx>
      <c:valAx>
        <c:axId val="42225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62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0BFBD9-07A0-9F77-24EE-30579450B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1</xdr:row>
      <xdr:rowOff>0</xdr:rowOff>
    </xdr:from>
    <xdr:to>
      <xdr:col>28</xdr:col>
      <xdr:colOff>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09F50F-3949-4D2A-94B5-A141F54E6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4426-E9E9-48EA-9A28-44CB5D8D0AA5}">
  <dimension ref="A1:M1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14</v>
      </c>
      <c r="B2" s="1">
        <v>45889</v>
      </c>
      <c r="C2" s="1">
        <v>45825</v>
      </c>
      <c r="D2">
        <f>ROUNDDOWN((B2-C2)/7,0)</f>
        <v>9</v>
      </c>
      <c r="E2">
        <v>354</v>
      </c>
      <c r="F2" t="s">
        <v>15</v>
      </c>
      <c r="G2">
        <v>48</v>
      </c>
      <c r="H2">
        <v>58</v>
      </c>
      <c r="I2">
        <v>52</v>
      </c>
      <c r="J2">
        <v>22</v>
      </c>
      <c r="K2">
        <v>6</v>
      </c>
      <c r="L2">
        <v>19</v>
      </c>
      <c r="M2">
        <v>11</v>
      </c>
    </row>
    <row r="3" spans="1:13" x14ac:dyDescent="0.25">
      <c r="A3" t="s">
        <v>14</v>
      </c>
      <c r="B3" s="1">
        <v>45916</v>
      </c>
      <c r="C3" s="1">
        <v>45825</v>
      </c>
      <c r="D3">
        <f t="shared" ref="D3:D11" si="0">ROUNDDOWN((B3-C3)/7,0)</f>
        <v>13</v>
      </c>
      <c r="E3">
        <v>510</v>
      </c>
      <c r="F3" t="s">
        <v>15</v>
      </c>
      <c r="G3">
        <v>58</v>
      </c>
      <c r="H3">
        <v>69</v>
      </c>
      <c r="I3">
        <v>60</v>
      </c>
      <c r="J3">
        <v>22</v>
      </c>
      <c r="K3">
        <v>8</v>
      </c>
      <c r="L3">
        <v>18</v>
      </c>
      <c r="M3">
        <v>11</v>
      </c>
    </row>
    <row r="4" spans="1:13" x14ac:dyDescent="0.25">
      <c r="A4" t="s">
        <v>14</v>
      </c>
      <c r="B4" s="1">
        <v>45917</v>
      </c>
      <c r="C4" s="1">
        <v>45825</v>
      </c>
      <c r="D4">
        <f t="shared" si="0"/>
        <v>13</v>
      </c>
      <c r="E4">
        <v>558</v>
      </c>
      <c r="F4" t="s">
        <v>15</v>
      </c>
      <c r="G4">
        <v>56</v>
      </c>
      <c r="H4">
        <v>69</v>
      </c>
      <c r="I4">
        <v>57</v>
      </c>
      <c r="J4">
        <v>20</v>
      </c>
      <c r="K4">
        <v>8</v>
      </c>
      <c r="L4">
        <v>20</v>
      </c>
      <c r="M4">
        <v>15</v>
      </c>
    </row>
    <row r="5" spans="1:13" x14ac:dyDescent="0.25">
      <c r="A5" t="s">
        <v>14</v>
      </c>
      <c r="B5" s="1">
        <v>45923</v>
      </c>
      <c r="C5" s="1">
        <v>45825</v>
      </c>
      <c r="D5">
        <f t="shared" si="0"/>
        <v>14</v>
      </c>
      <c r="E5">
        <v>475</v>
      </c>
      <c r="F5" t="s">
        <v>15</v>
      </c>
      <c r="G5">
        <v>58</v>
      </c>
      <c r="H5">
        <v>67</v>
      </c>
      <c r="I5">
        <v>60</v>
      </c>
      <c r="J5">
        <v>21</v>
      </c>
      <c r="K5">
        <v>9</v>
      </c>
      <c r="L5">
        <v>23</v>
      </c>
      <c r="M5">
        <v>14</v>
      </c>
    </row>
    <row r="6" spans="1:13" x14ac:dyDescent="0.25">
      <c r="A6" t="s">
        <v>14</v>
      </c>
      <c r="B6" s="1">
        <v>45924</v>
      </c>
      <c r="C6" s="1">
        <v>45860</v>
      </c>
      <c r="D6">
        <f t="shared" si="0"/>
        <v>9</v>
      </c>
      <c r="E6">
        <v>346</v>
      </c>
      <c r="F6" t="s">
        <v>15</v>
      </c>
      <c r="G6">
        <v>51</v>
      </c>
      <c r="H6">
        <v>65</v>
      </c>
      <c r="I6">
        <v>56</v>
      </c>
      <c r="J6">
        <v>20</v>
      </c>
      <c r="K6">
        <v>8</v>
      </c>
      <c r="L6">
        <v>21</v>
      </c>
      <c r="M6">
        <v>12</v>
      </c>
    </row>
    <row r="7" spans="1:13" x14ac:dyDescent="0.25">
      <c r="A7" t="s">
        <v>14</v>
      </c>
      <c r="B7" s="1">
        <v>45938</v>
      </c>
      <c r="C7" s="1">
        <v>45860</v>
      </c>
      <c r="D7">
        <f t="shared" si="0"/>
        <v>11</v>
      </c>
      <c r="E7">
        <v>450</v>
      </c>
      <c r="F7" t="s">
        <v>15</v>
      </c>
      <c r="G7">
        <v>51</v>
      </c>
      <c r="H7">
        <v>60</v>
      </c>
      <c r="I7">
        <v>53</v>
      </c>
      <c r="J7">
        <v>20</v>
      </c>
      <c r="K7">
        <v>8</v>
      </c>
      <c r="L7">
        <v>21</v>
      </c>
      <c r="M7">
        <v>13</v>
      </c>
    </row>
    <row r="8" spans="1:13" x14ac:dyDescent="0.25">
      <c r="A8" t="s">
        <v>14</v>
      </c>
      <c r="B8" s="1">
        <v>45930</v>
      </c>
      <c r="C8" s="1">
        <v>45860</v>
      </c>
      <c r="D8">
        <f t="shared" si="0"/>
        <v>10</v>
      </c>
      <c r="E8">
        <v>259</v>
      </c>
      <c r="F8" t="s">
        <v>13</v>
      </c>
      <c r="G8">
        <v>47</v>
      </c>
      <c r="H8">
        <v>57</v>
      </c>
      <c r="I8">
        <v>49</v>
      </c>
      <c r="J8">
        <v>20</v>
      </c>
      <c r="K8">
        <v>8</v>
      </c>
      <c r="L8">
        <v>19</v>
      </c>
      <c r="M8">
        <v>11</v>
      </c>
    </row>
    <row r="9" spans="1:13" x14ac:dyDescent="0.25">
      <c r="A9" t="s">
        <v>14</v>
      </c>
      <c r="B9" s="1">
        <v>45964</v>
      </c>
      <c r="C9">
        <v>45860</v>
      </c>
      <c r="D9">
        <f t="shared" si="0"/>
        <v>14</v>
      </c>
      <c r="E9">
        <v>313</v>
      </c>
      <c r="F9" t="s">
        <v>13</v>
      </c>
      <c r="G9">
        <v>51</v>
      </c>
      <c r="H9">
        <v>62</v>
      </c>
      <c r="I9">
        <v>54</v>
      </c>
      <c r="J9">
        <v>20</v>
      </c>
      <c r="K9">
        <v>7</v>
      </c>
      <c r="L9">
        <v>18</v>
      </c>
      <c r="M9">
        <v>11</v>
      </c>
    </row>
    <row r="10" spans="1:13" x14ac:dyDescent="0.25">
      <c r="A10" t="s">
        <v>14</v>
      </c>
      <c r="B10" s="1">
        <v>45964</v>
      </c>
      <c r="C10" s="1">
        <v>45867</v>
      </c>
      <c r="D10">
        <f t="shared" si="0"/>
        <v>13</v>
      </c>
      <c r="E10">
        <v>305</v>
      </c>
      <c r="F10" t="s">
        <v>13</v>
      </c>
      <c r="G10">
        <v>54</v>
      </c>
      <c r="H10">
        <v>62</v>
      </c>
      <c r="I10">
        <v>49</v>
      </c>
      <c r="J10">
        <v>22</v>
      </c>
      <c r="K10">
        <v>6</v>
      </c>
      <c r="L10">
        <v>16</v>
      </c>
      <c r="M10">
        <v>10</v>
      </c>
    </row>
    <row r="11" spans="1:13" x14ac:dyDescent="0.25">
      <c r="A11" t="s">
        <v>14</v>
      </c>
      <c r="B11" s="1">
        <v>45964</v>
      </c>
      <c r="C11" s="1">
        <v>45867</v>
      </c>
      <c r="D11">
        <f t="shared" si="0"/>
        <v>13</v>
      </c>
      <c r="E11">
        <v>281</v>
      </c>
      <c r="F11" t="s">
        <v>13</v>
      </c>
      <c r="G11">
        <v>42</v>
      </c>
      <c r="H11">
        <v>51</v>
      </c>
      <c r="I11">
        <v>43</v>
      </c>
      <c r="J11">
        <v>20</v>
      </c>
      <c r="K11">
        <v>6</v>
      </c>
      <c r="L11">
        <v>17</v>
      </c>
      <c r="M11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nerve length 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Su</cp:lastModifiedBy>
  <dcterms:created xsi:type="dcterms:W3CDTF">2025-11-04T03:39:46Z</dcterms:created>
  <dcterms:modified xsi:type="dcterms:W3CDTF">2025-11-05T12:19:52Z</dcterms:modified>
</cp:coreProperties>
</file>